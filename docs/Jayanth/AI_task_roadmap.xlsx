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y90\Downloads\"/>
    </mc:Choice>
  </mc:AlternateContent>
  <xr:revisionPtr revIDLastSave="0" documentId="13_ncr:1_{92C6ADBF-1E23-4AF8-AE18-319249F2F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Task List (All 60)" sheetId="1" r:id="rId1"/>
    <sheet name="Project 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B8" i="2"/>
  <c r="C7" i="2"/>
  <c r="B7" i="2"/>
  <c r="C6" i="2"/>
  <c r="C9" i="2" s="1"/>
  <c r="B6" i="2"/>
  <c r="E74" i="1"/>
  <c r="E50" i="1"/>
  <c r="E26" i="1"/>
  <c r="B9" i="2" l="1"/>
</calcChain>
</file>

<file path=xl/sharedStrings.xml><?xml version="1.0" encoding="utf-8"?>
<sst xmlns="http://schemas.openxmlformats.org/spreadsheetml/2006/main" count="472" uniqueCount="340">
  <si>
    <t>Full list of all tasks grouped into Milestone 1, Milestone 2, and Milestone 3.</t>
  </si>
  <si>
    <t>Milestone 1 - Local Implementation</t>
  </si>
  <si>
    <t>Milestone Phase</t>
  </si>
  <si>
    <t>Task ID</t>
  </si>
  <si>
    <t>Task Name (Simplified)</t>
  </si>
  <si>
    <t>Clear Task Details &amp; Purpose</t>
  </si>
  <si>
    <t>Est. Dev Days</t>
  </si>
  <si>
    <t>Dependencies</t>
  </si>
  <si>
    <t>Target ETA</t>
  </si>
  <si>
    <t>Acceptance Criteria (Definition of Done)</t>
  </si>
  <si>
    <t>M1-01</t>
  </si>
  <si>
    <t>Baseline Audit &amp; Requirements Matrix</t>
  </si>
  <si>
    <t>Map current prototype against final target architecture; document gaps and list required local components.</t>
  </si>
  <si>
    <t>None</t>
  </si>
  <si>
    <t>Week 1</t>
  </si>
  <si>
    <t>Approved gap matrix and clear plan connecting components to tasks.</t>
  </si>
  <si>
    <t>M1-02</t>
  </si>
  <si>
    <t>Codebase Cleanup &amp; Standardization</t>
  </si>
  <si>
    <t>Set up code formatting, auto-checks (linting), type hints, logging, and lock library versions.</t>
  </si>
  <si>
    <t>Code check and formatting scripts run smoothly without errors.</t>
  </si>
  <si>
    <t>M1-03</t>
  </si>
  <si>
    <t>Project Folder Restructuring</t>
  </si>
  <si>
    <t>Organize code into clean folders: frontend, backend, shared, tests, scripts, and config.</t>
  </si>
  <si>
    <t>App starts easily using simple terminal commands with clean code imports.</t>
  </si>
  <si>
    <t>M1-04</t>
  </si>
  <si>
    <t>Centralized Configuration Management</t>
  </si>
  <si>
    <t>Store settings (database URLs, API keys, paths, feature flags) in one central place using environment variables.</t>
  </si>
  <si>
    <t>No hardcoded file paths; app works regardless of where it is run from.</t>
  </si>
  <si>
    <t>M1-05</t>
  </si>
  <si>
    <t>FastAPI Core Service Setup</t>
  </si>
  <si>
    <t>Build core FastAPI backend with health checks, API routing, standard error handling, and data models.</t>
  </si>
  <si>
    <t>Week 2</t>
  </si>
  <si>
    <t>FastAPI service exposes working health check and chat endpoints.</t>
  </si>
  <si>
    <t>M1-06</t>
  </si>
  <si>
    <t>Local Service Module Boundaries</t>
  </si>
  <si>
    <t>Separate backend modules (API, Orchestrator, Agent, Memory, Knowledge, Tools, Safety, Logs) to prevent tangled code.</t>
  </si>
  <si>
    <t>M1-03; M1-04</t>
  </si>
  <si>
    <t>Each module has a stable interface and isolated automated tests.</t>
  </si>
  <si>
    <t>M1-07</t>
  </si>
  <si>
    <t>API Conversation &amp; Streaming Contract</t>
  </si>
  <si>
    <t>Standardize API formats for live response streaming, unique request IDs, tracking headers, and structured error responses.</t>
  </si>
  <si>
    <t>Invalid requests return clear error messages and every response contains tracking IDs.</t>
  </si>
  <si>
    <t>M1-08</t>
  </si>
  <si>
    <t>Unique Chat &amp; Session Tracking (UUIDv7)</t>
  </si>
  <si>
    <t>Add time-sortable unique IDs (UUIDv7) to every chat session and thread to track user history reliably.</t>
  </si>
  <si>
    <t>M1-06; M1-07</t>
  </si>
  <si>
    <t>Every conversation gets a unique, chronological ID for thread tracking.</t>
  </si>
  <si>
    <t>M1-09</t>
  </si>
  <si>
    <t>Short-Term Chat Context Memory</t>
  </si>
  <si>
    <t>Keep recent chat messages in memory while trimming older text so AI prompt token limits aren't exceeded.</t>
  </si>
  <si>
    <t>Week 3</t>
  </si>
  <si>
    <t>Only recent relevant messages are sent to AI, staying within word limits.</t>
  </si>
  <si>
    <t>M1-10</t>
  </si>
  <si>
    <t>Long-Term User Memory &amp; Retention</t>
  </si>
  <si>
    <t>Store user preferences and key details across sessions with options to edit, auto-expire, or delete them.</t>
  </si>
  <si>
    <t>M1-08; M1-09</t>
  </si>
  <si>
    <t>User preferences stay saved across sessions and respect privacy expiration rules.</t>
  </si>
  <si>
    <t>M1-11</t>
  </si>
  <si>
    <t>Automatic Chat History Summarization</t>
  </si>
  <si>
    <t>Summarize older chat turns into short background notes so the AI retains key context without high API costs.</t>
  </si>
  <si>
    <t>M1-09; M1-10</t>
  </si>
  <si>
    <t>Old conversations auto-summarize and AI answers remain coherent.</t>
  </si>
  <si>
    <t>M1-12</t>
  </si>
  <si>
    <t>Local Database &amp; Schema Migrations</t>
  </si>
  <si>
    <t>Set up local database storage with schema migrations to store user chat history and session data safely.</t>
  </si>
  <si>
    <t>Data survives app restarts and database schema updates run reproducibly.</t>
  </si>
  <si>
    <t>M1-13</t>
  </si>
  <si>
    <t>Model Gateway (AI Provider Switcher)</t>
  </si>
  <si>
    <t>Create a single wrapper to connect to different AI models (OpenAI, Anthropic, local models) with retries and fallbacks.</t>
  </si>
  <si>
    <t>Week 4</t>
  </si>
  <si>
    <t>System can switch AI models easily without changing core agent logic.</t>
  </si>
  <si>
    <t>M1-14</t>
  </si>
  <si>
    <t>Tool &amp; External Action Gateway</t>
  </si>
  <si>
    <t>Build a secure registry for external tools (e.g., database lookup, API calls) with safety checks and error retries.</t>
  </si>
  <si>
    <t>M1-06; M1-13</t>
  </si>
  <si>
    <t>Tools execute safely, unauthorized calls are blocked, and actions are logged.</t>
  </si>
  <si>
    <t>M1-15</t>
  </si>
  <si>
    <t>Input &amp; Output Safety Controls</t>
  </si>
  <si>
    <t>Add guardrails to detect prompt injection, hide sensitive personal data (PII), and block unsafe content.</t>
  </si>
  <si>
    <t>M1-07; M1-13; M1-14</t>
  </si>
  <si>
    <t>Unsafe prompts or output are flagged, redacted, or blocked with audit logs.</t>
  </si>
  <si>
    <t>M1-16</t>
  </si>
  <si>
    <t>Agent Behavior &amp; Failure Handling</t>
  </si>
  <si>
    <t>Refine AI agents (Policy, Claims, Billing, Escalation) to gracefully handle missing data or unclear prompts.</t>
  </si>
  <si>
    <t>M1-09; M1-13; M1-14; M1-15</t>
  </si>
  <si>
    <t>Week 5</t>
  </si>
  <si>
    <t>Agents handle errors smoothly, clarify ambiguous questions, and execute handoffs.</t>
  </si>
  <si>
    <t>M1-17</t>
  </si>
  <si>
    <t>Document Search &amp; RAG Pipeline</t>
  </si>
  <si>
    <t>Upload documents, split into chunks, index text vectors, and output answers backed by citations.</t>
  </si>
  <si>
    <t>M1-04; M1-13; M1-15</t>
  </si>
  <si>
    <t>AI provides accurate answers backed by document citations and access checks.</t>
  </si>
  <si>
    <t>M1-18</t>
  </si>
  <si>
    <t>Local Caching &amp; Async Event Bus</t>
  </si>
  <si>
    <t>Add cache for fast repeated responses and a local background job queue for heavy asynchronous tasks.</t>
  </si>
  <si>
    <t>M1-08; M1-12</t>
  </si>
  <si>
    <t>Common answers load instantly from cache and background failures auto-retry.</t>
  </si>
  <si>
    <t>M1-19</t>
  </si>
  <si>
    <t>Frontend Web UI &amp; API Integration</t>
  </si>
  <si>
    <t>Build a simple, clean chat interface showing messages, loading states, source citations, and error notifications.</t>
  </si>
  <si>
    <t>M1-05; M1-07; M1-08</t>
  </si>
  <si>
    <t>Week 6</t>
  </si>
  <si>
    <t>Users can send messages, view citations, resume chats, and see live status.</t>
  </si>
  <si>
    <t>M1-20</t>
  </si>
  <si>
    <t>Local Testing &amp; Setup Documentation</t>
  </si>
  <si>
    <t>Write unit/integration tests and complete a step-by-step developer setup and troubleshooting guide.</t>
  </si>
  <si>
    <t>M1-02 through M1-19</t>
  </si>
  <si>
    <t>All automated tests pass and a new developer can set up the app in under 30 mins.</t>
  </si>
  <si>
    <t>Total Effort for Milestone 1 - Local Implementation</t>
  </si>
  <si>
    <t>Milestone 2 - AWS Migration</t>
  </si>
  <si>
    <t>M2-01</t>
  </si>
  <si>
    <t>AWS Architecture &amp; Component Mapping</t>
  </si>
  <si>
    <t>Plan how local backend, memory, and database services map to AWS cloud services (ECS, S3, RDS, DynamoDB).</t>
  </si>
  <si>
    <t>Week 7</t>
  </si>
  <si>
    <t>Architecture design document approved with local-to-AWS service mapping.</t>
  </si>
  <si>
    <t>M2-02</t>
  </si>
  <si>
    <t>AWS Account &amp; Environment Foundation</t>
  </si>
  <si>
    <t>Set up AWS environments (Dev, Staging, Prod) with network VPCs, security rules, tagging, and budget limits.</t>
  </si>
  <si>
    <t>AWS environments are isolated, reproducible, and budget-monitored.</t>
  </si>
  <si>
    <t>M2-03</t>
  </si>
  <si>
    <t>User Authentication &amp; API Gateway Security</t>
  </si>
  <si>
    <t>Set up Cognito user login, IAM roles, and API Gateway with WAF to secure and rate-limit web traffic.</t>
  </si>
  <si>
    <t>Week 8</t>
  </si>
  <si>
    <t>Only authenticated users can call protected APIs with proper tenant isolation.</t>
  </si>
  <si>
    <t>M2-04</t>
  </si>
  <si>
    <t>Docker Container Cloud Deployment (ECS)</t>
  </si>
  <si>
    <t>Package backend services into Docker containers and deploy on AWS ECS/Fargate with auto-scaling.</t>
  </si>
  <si>
    <t>M2-02; M1-20</t>
  </si>
  <si>
    <t>Services deploy independently and automatically recover from container crashes.</t>
  </si>
  <si>
    <t>M2-05</t>
  </si>
  <si>
    <t>AWS Cloud Database Setup (Aurora PostgreSQL)</t>
  </si>
  <si>
    <t>Migrate relational database to AWS Aurora PostgreSQL with automated backups and replication.</t>
  </si>
  <si>
    <t>M2-01; M2-02</t>
  </si>
  <si>
    <t>Week 9</t>
  </si>
  <si>
    <t>Cloud database is running, integrated with backend, and backed up automatically.</t>
  </si>
  <si>
    <t>M2-06</t>
  </si>
  <si>
    <t>DynamoDB Chat History &amp; State Store</t>
  </si>
  <si>
    <t>Store active chat sessions, user summaries, and conversation history in AWS DynamoDB.</t>
  </si>
  <si>
    <t>M2-01; M1-12</t>
  </si>
  <si>
    <t>Chat history reads/writes fast, scales automatically, and supports session recovery.</t>
  </si>
  <si>
    <t>M2-07</t>
  </si>
  <si>
    <t>ElastiCache (Redis) Caching Layer</t>
  </si>
  <si>
    <t>Deploy AWS ElastiCache Redis for fast temporary data storage, lock management, and API rate limiting.</t>
  </si>
  <si>
    <t>M2-03; M2-06</t>
  </si>
  <si>
    <t>Caching reduces database load and gracefully degrades if cache misses occur.</t>
  </si>
  <si>
    <t>M2-08</t>
  </si>
  <si>
    <t>S3 Document Storage &amp; Ingestion Trigger</t>
  </si>
  <si>
    <t>Set up AWS S3 buckets for file uploads, triggering automatic document indexing upon upload.</t>
  </si>
  <si>
    <t>M2-02; M1-17</t>
  </si>
  <si>
    <t>Week 10</t>
  </si>
  <si>
    <t>Uploading files to S3 triggers repeatable, versioned, and monitored ingestion.</t>
  </si>
  <si>
    <t>M2-09</t>
  </si>
  <si>
    <t>Managed Vector Search Platform</t>
  </si>
  <si>
    <t>Set up AWS OpenSearch or Bedrock Knowledge Bases for document retrieval and citation lookup.</t>
  </si>
  <si>
    <t>Vector search returns relevant, access-controlled context with clear source links.</t>
  </si>
  <si>
    <t>M2-10</t>
  </si>
  <si>
    <t>AWS Bedrock Model Integration Gateway</t>
  </si>
  <si>
    <t>Connect backend agents to AWS Bedrock to access foundation models (Claude/Llama) with backup routing.</t>
  </si>
  <si>
    <t>M2-04; M2-09</t>
  </si>
  <si>
    <t>Week 11</t>
  </si>
  <si>
    <t>Backend calls Bedrock models securely with automated fallback handling.</t>
  </si>
  <si>
    <t>M2-11</t>
  </si>
  <si>
    <t>Three-Tier Model Routing Strategy</t>
  </si>
  <si>
    <t>Route simple queries to cheap models and complex queries to premium models based on user tier.</t>
  </si>
  <si>
    <t>M2-10; M2-03</t>
  </si>
  <si>
    <t>Queries automatically choose the cost-optimal model tier without manual intervention.</t>
  </si>
  <si>
    <t>M2-12</t>
  </si>
  <si>
    <t>Serverless Tool Execution (AWS Lambda)</t>
  </si>
  <si>
    <t>Deploy external integration tools as AWS Lambda functions with granular security permissions.</t>
  </si>
  <si>
    <t>M2-03; M2-05; M2-10</t>
  </si>
  <si>
    <t>Week 12</t>
  </si>
  <si>
    <t>Tools run as lightweight serverless functions with full audit logs.</t>
  </si>
  <si>
    <t>M2-13</t>
  </si>
  <si>
    <t>Async Queue Workflows (SQS &amp; EventBridge)</t>
  </si>
  <si>
    <t>Set up SQS message queues and EventBridge for background job processing, retries, and dead-letter queues.</t>
  </si>
  <si>
    <t>M2-04; M2-12</t>
  </si>
  <si>
    <t>Heavy tasks process asynchronously without blocking real-time user requests.</t>
  </si>
  <si>
    <t>M2-14</t>
  </si>
  <si>
    <t>Secrets Manager &amp; Encryption Setup (KMS)</t>
  </si>
  <si>
    <t>Store API keys securely in AWS Secrets Manager and enable KMS key encryption across all data stores.</t>
  </si>
  <si>
    <t>M2-02; M2-03</t>
  </si>
  <si>
    <t>No plain-text credentials in code; all secrets loaded dynamically via KMS.</t>
  </si>
  <si>
    <t>M2-15</t>
  </si>
  <si>
    <t>Cloud Monitoring &amp; Centralized Logs</t>
  </si>
  <si>
    <t>Set up AWS CloudWatch and OpenTelemetry to log API speed, agent calls, model usage, and errors.</t>
  </si>
  <si>
    <t>M2-04; M2-10; M2-13</t>
  </si>
  <si>
    <t>Week 13</t>
  </si>
  <si>
    <t>Developers can trace a request's full journey across services on a live dashboard.</t>
  </si>
  <si>
    <t>M2-16</t>
  </si>
  <si>
    <t>Cloud Audit &amp; Compliance Storage</t>
  </si>
  <si>
    <t>Store immutable records of AI agent decisions, tool calls, and user actions for security compliance.</t>
  </si>
  <si>
    <t>M2-06; M2-14; M2-15</t>
  </si>
  <si>
    <t>Security auditors can review full conversation logs and operational decisions.</t>
  </si>
  <si>
    <t>M2-17</t>
  </si>
  <si>
    <t>Cloud Cost Breakdown &amp; Financial Model</t>
  </si>
  <si>
    <t>Calculate expected monthly AWS bills across compute, AI tokens, databases, storage, and networking.</t>
  </si>
  <si>
    <t>M2-02; M2-10 through M2-16</t>
  </si>
  <si>
    <t>Week 14</t>
  </si>
  <si>
    <t>Detailed financial estimation model covering low, average, and peak usage traffic.</t>
  </si>
  <si>
    <t>M2-18</t>
  </si>
  <si>
    <t>Cost Controls &amp; Token Quotas</t>
  </si>
  <si>
    <t>Set spending limits, per-tenant token usage caps, and automated alerts to prevent unexpected AWS bills.</t>
  </si>
  <si>
    <t>M2-11; M2-17</t>
  </si>
  <si>
    <t>Usage spikes trigger budget alerts and automatic model downgrade controls.</t>
  </si>
  <si>
    <t>M2-19</t>
  </si>
  <si>
    <t>Data Migration &amp; Cutover Rehearsal</t>
  </si>
  <si>
    <t>Migrate local test data to AWS and run a full rehearsal of switching operations from local to cloud.</t>
  </si>
  <si>
    <t>M2-05 through M2-09; M2-16</t>
  </si>
  <si>
    <t>Week 15</t>
  </si>
  <si>
    <t>Cloud environment produces identical test results to local; rollback plan verified.</t>
  </si>
  <si>
    <t>M2-20</t>
  </si>
  <si>
    <t>AWS Staging Acceptance Testing</t>
  </si>
  <si>
    <t>Run functional, performance, security, and failure recovery tests in AWS Staging environment.</t>
  </si>
  <si>
    <t>M2-01 through M2-19</t>
  </si>
  <si>
    <t>Week 16</t>
  </si>
  <si>
    <t>Staging passes all stability, latency, security, and functional acceptance gates.</t>
  </si>
  <si>
    <t>Total Effort for Milestone 2 - AWS Migration</t>
  </si>
  <si>
    <t>Milestone 3 - Production Readiness</t>
  </si>
  <si>
    <t>M3-01</t>
  </si>
  <si>
    <t>Production SLOs &amp; Alert Thresholds</t>
  </si>
  <si>
    <t>Define strict targets for API speed, uptime (99.9%), AI response accuracy, and operational alerts.</t>
  </si>
  <si>
    <t>Week 17</t>
  </si>
  <si>
    <t>Target response times (&lt;2s) and uptime targets (99.9%) formally documented.</t>
  </si>
  <si>
    <t>M3-02</t>
  </si>
  <si>
    <t>Automated CI/CD Testing Strategy</t>
  </si>
  <si>
    <t>Set up automated test pipelines running unit, integration, and security checks on every code submission.</t>
  </si>
  <si>
    <t>Code cannot be merged into production branch unless all automated tests pass.</t>
  </si>
  <si>
    <t>M3-03</t>
  </si>
  <si>
    <t>AI Agent Accuracy Benchmarking</t>
  </si>
  <si>
    <t>Create test datasets to measure if AI agents route questions correctly and output high-quality answers.</t>
  </si>
  <si>
    <t>Week 18</t>
  </si>
  <si>
    <t>AI responses scored against verified golden answers with &gt;90% accuracy target.</t>
  </si>
  <si>
    <t>M3-04</t>
  </si>
  <si>
    <t>RAG Retrieval Quality &amp; Citation Testing</t>
  </si>
  <si>
    <t>Evaluate document retrieval recall, citation accuracy, and handling of missing context.</t>
  </si>
  <si>
    <t>RAG pipeline passes factual grounding and citation accuracy benchmarks.</t>
  </si>
  <si>
    <t>M3-05</t>
  </si>
  <si>
    <t>Prompt &amp; Model Quality Checks</t>
  </si>
  <si>
    <t>Compare response quality and cost whenever prompts or AI model versions are modified.</t>
  </si>
  <si>
    <t>M3-03; M3-04</t>
  </si>
  <si>
    <t>Prompt updates require passing quality checks to prevent unexpected degradation.</t>
  </si>
  <si>
    <t>M3-06</t>
  </si>
  <si>
    <t>AI Safety &amp; Red-Teaming Tests</t>
  </si>
  <si>
    <t>Simulate security attacks (prompt injection, jailbreaks, data leaks) to test guardrails.</t>
  </si>
  <si>
    <t>M3-02; M3-03</t>
  </si>
  <si>
    <t>Week 19</t>
  </si>
  <si>
    <t>All identified safety vulnerabilities patched before production launch.</t>
  </si>
  <si>
    <t>M3-07</t>
  </si>
  <si>
    <t>Security &amp; Vulnerability Scanning</t>
  </si>
  <si>
    <t>Perform automated code scanning, dependency checks, penetration tests, and IAM role reviews.</t>
  </si>
  <si>
    <t>M2-14; M3-02</t>
  </si>
  <si>
    <t>Zero critical or high security vulnerabilities remain unmitigated.</t>
  </si>
  <si>
    <t>M3-08</t>
  </si>
  <si>
    <t>Load &amp; Capacity Stress Testing</t>
  </si>
  <si>
    <t>Simulate hundreds of simultaneous active users to verify system handles high traffic without breaking.</t>
  </si>
  <si>
    <t>M3-01; M3-02</t>
  </si>
  <si>
    <t>Week 20</t>
  </si>
  <si>
    <t>System automatically scales up under peak traffic while maintaining speed targets.</t>
  </si>
  <si>
    <t>M3-09</t>
  </si>
  <si>
    <t>Resilience &amp; Failure Injection Testing</t>
  </si>
  <si>
    <t>Intentionally disconnect databases, caches, or AI model endpoints to test auto-recovery.</t>
  </si>
  <si>
    <t>App degrades gracefully, retries safely, and preserves user data during outages.</t>
  </si>
  <si>
    <t>M3-10</t>
  </si>
  <si>
    <t>Disaster Recovery &amp; Backup Drills</t>
  </si>
  <si>
    <t>Validate cross-region data backups and test restoring system state within target timeframe.</t>
  </si>
  <si>
    <t>M2-05; M2-06; M2-08</t>
  </si>
  <si>
    <t>Week 21</t>
  </si>
  <si>
    <t>System restored successfully within 1-hour Recovery Time Objective (RTO).</t>
  </si>
  <si>
    <t>M3-11</t>
  </si>
  <si>
    <t>Data Privacy &amp; Account Deletion Verification</t>
  </si>
  <si>
    <t>Verify user consent management, data retention limits, and automated account wiping features.</t>
  </si>
  <si>
    <t>M2-06; M2-16</t>
  </si>
  <si>
    <t>Data deletion requests erase all user history in compliance with privacy rules.</t>
  </si>
  <si>
    <t>M3-12</t>
  </si>
  <si>
    <t>Human Review &amp; Feedback Dashboard</t>
  </si>
  <si>
    <t>Build simple internal tool for team members to rate AI answers and flag low-quality responses.</t>
  </si>
  <si>
    <t>M3-03 through M3-06</t>
  </si>
  <si>
    <t>Week 22</t>
  </si>
  <si>
    <t>Operations team can review user-flagged chats and continuously tune performance.</t>
  </si>
  <si>
    <t>M3-13</t>
  </si>
  <si>
    <t>Automated Release Pipeline (CI/CD)</t>
  </si>
  <si>
    <t>Build automated deployment pipeline to push code safely to production with single-click rollback.</t>
  </si>
  <si>
    <t>M3-02; M3-07</t>
  </si>
  <si>
    <t>Deployments to production are automated, audited, and rollback-ready.</t>
  </si>
  <si>
    <t>M3-14</t>
  </si>
  <si>
    <t>Canary &amp; Feature Flag Rollout</t>
  </si>
  <si>
    <t>Deploy new software versions to a small group of users first before full public release.</t>
  </si>
  <si>
    <t>M3-01; M3-13</t>
  </si>
  <si>
    <t>Week 23</t>
  </si>
  <si>
    <t>Feature flags allow disabling broken features instantly without redeploying code.</t>
  </si>
  <si>
    <t>M3-15</t>
  </si>
  <si>
    <t>Operational Dashboards &amp; Live Alerting</t>
  </si>
  <si>
    <t>Finalize CloudWatch dashboards showing system speed, active chats, error rates, and live costs.</t>
  </si>
  <si>
    <t>M2-15; M3-01</t>
  </si>
  <si>
    <t>Real-time visual monitoring active with instant threshold alert notifications.</t>
  </si>
  <si>
    <t>M3-16</t>
  </si>
  <si>
    <t>On-Call Runbooks &amp; Operational Guides</t>
  </si>
  <si>
    <t>Write step-by-step troubleshooting guides for common incident scenarios and system failures.</t>
  </si>
  <si>
    <t>M3-09; M3-10; M3-15</t>
  </si>
  <si>
    <t>Week 24</t>
  </si>
  <si>
    <t>Engineers test runbooks during simulated incident drills.</t>
  </si>
  <si>
    <t>M3-17</t>
  </si>
  <si>
    <t>Human Support Queue Handoff</t>
  </si>
  <si>
    <t>Connect complex AI customer queries to human support agents with full conversation history.</t>
  </si>
  <si>
    <t>M2-13; M3-12</t>
  </si>
  <si>
    <t>Support team receives complete chat context when an AI conversation is escalated.</t>
  </si>
  <si>
    <t>M3-18</t>
  </si>
  <si>
    <t>Frontend Production Hardening</t>
  </si>
  <si>
    <t>Fix UI edge-cases, ensure mobile browser compatibility, refine streaming UX, and polish controls.</t>
  </si>
  <si>
    <t>M1-19; M3-02; M3-11</t>
  </si>
  <si>
    <t>Week 25</t>
  </si>
  <si>
    <t>Frontend UI works smoothly across desktop and mobile devices.</t>
  </si>
  <si>
    <t>M3-19</t>
  </si>
  <si>
    <t>Final Go-Live Sign-Off Review</t>
  </si>
  <si>
    <t>Conduct formal review with Engineering, Product, Security, and Operations leadership.</t>
  </si>
  <si>
    <t>M3-01 through M3-18</t>
  </si>
  <si>
    <t>Week 26</t>
  </si>
  <si>
    <t>Formal production release checklist signed off by key stakeholders.</t>
  </si>
  <si>
    <t>M3-20</t>
  </si>
  <si>
    <t>Production Launch &amp; Stabilization</t>
  </si>
  <si>
    <t>Execute final public release, monitor live traffic, resolve initial launch issues, and transfer support.</t>
  </si>
  <si>
    <t>Weeks 27-28</t>
  </si>
  <si>
    <t>Production launch completed successfully with stable operational metrics.</t>
  </si>
  <si>
    <t>Total Effort for Milestone 3 - Production Readiness</t>
  </si>
  <si>
    <t>Startup AI Assistant POC - Executive Dashboard</t>
  </si>
  <si>
    <t>Summary of milestones, effort estimations, task counts, and execution timelines.</t>
  </si>
  <si>
    <t>Milestone Overview &amp; Key Metrics</t>
  </si>
  <si>
    <t>Total Tasks</t>
  </si>
  <si>
    <t>Timeline Window</t>
  </si>
  <si>
    <t>Primary Scope Focus</t>
  </si>
  <si>
    <t>Weeks 1 - 6</t>
  </si>
  <si>
    <t>Local Architecture, Core FastAPI, Safety, RAG &amp; Memory POC</t>
  </si>
  <si>
    <t>Weeks 7 - 16</t>
  </si>
  <si>
    <t>Cloud Scaling, ECS Containers, Bedrock AI, DynamoDB &amp; Security</t>
  </si>
  <si>
    <t>Weeks 17 - 28</t>
  </si>
  <si>
    <t>Testing, AI Benchmarking, Red-Teaming, CI/CD &amp; Launch</t>
  </si>
  <si>
    <t>Total Project Scope</t>
  </si>
  <si>
    <t>28 Weeks Total</t>
  </si>
  <si>
    <t>End-to-End Local Prototype to Cloud Launch</t>
  </si>
  <si>
    <t xml:space="preserve"> AI Assistant POC - Complete 60-Task Implementation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</si>
</sst>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2"/>
      <color rgb="FF1F4E7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4E78"/>
      </patternFill>
    </fill>
    <fill>
      <patternFill patternType="solid">
        <fgColor rgb="FFF9FAFB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3" fontId="5" fillId="4" borderId="1" xfId="0" applyNumberFormat="1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center"/>
    </xf>
    <xf numFmtId="0" fontId="0" fillId="5" borderId="1" xfId="0" applyFill="1" applyBorder="1"/>
    <xf numFmtId="3" fontId="6" fillId="5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right" vertical="center"/>
    </xf>
    <xf numFmtId="0" fontId="0" fillId="7" borderId="1" xfId="0" applyFill="1" applyBorder="1"/>
    <xf numFmtId="3" fontId="6" fillId="7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right" vertical="center"/>
    </xf>
    <xf numFmtId="0" fontId="0" fillId="9" borderId="1" xfId="0" applyFill="1" applyBorder="1"/>
    <xf numFmtId="3" fontId="6" fillId="9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pane ySplit="3" topLeftCell="A60" activePane="bottomLeft" state="frozen"/>
      <selection pane="bottomLeft" activeCell="B60" sqref="B60"/>
    </sheetView>
  </sheetViews>
  <sheetFormatPr defaultRowHeight="14.4" x14ac:dyDescent="0.3"/>
  <cols>
    <col min="1" max="1" width="28" customWidth="1"/>
    <col min="2" max="2" width="12" customWidth="1"/>
    <col min="3" max="3" width="32" customWidth="1"/>
    <col min="4" max="4" width="50" customWidth="1"/>
    <col min="5" max="5" width="14" customWidth="1"/>
    <col min="6" max="6" width="16" customWidth="1"/>
    <col min="7" max="7" width="14" customWidth="1"/>
    <col min="8" max="8" width="45" customWidth="1"/>
  </cols>
  <sheetData>
    <row r="1" spans="1:8" ht="21" x14ac:dyDescent="0.4">
      <c r="A1" s="31" t="s">
        <v>339</v>
      </c>
      <c r="B1" s="31"/>
      <c r="C1" s="31"/>
      <c r="D1" s="31"/>
    </row>
    <row r="2" spans="1:8" x14ac:dyDescent="0.3">
      <c r="A2" s="2" t="s">
        <v>0</v>
      </c>
    </row>
    <row r="4" spans="1:8" ht="15.6" x14ac:dyDescent="0.3">
      <c r="A4" s="29" t="s">
        <v>1</v>
      </c>
      <c r="B4" s="28"/>
      <c r="C4" s="28"/>
      <c r="D4" s="28"/>
      <c r="E4" s="28"/>
      <c r="F4" s="28"/>
      <c r="G4" s="28"/>
      <c r="H4" s="28"/>
    </row>
    <row r="5" spans="1:8" ht="28.0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ht="42" customHeight="1" x14ac:dyDescent="0.3">
      <c r="A6" s="4" t="s">
        <v>1</v>
      </c>
      <c r="B6" s="5" t="s">
        <v>10</v>
      </c>
      <c r="C6" s="4" t="s">
        <v>11</v>
      </c>
      <c r="D6" s="4" t="s">
        <v>12</v>
      </c>
      <c r="E6" s="6">
        <v>2</v>
      </c>
      <c r="F6" s="5" t="s">
        <v>13</v>
      </c>
      <c r="G6" s="5" t="s">
        <v>14</v>
      </c>
      <c r="H6" s="4" t="s">
        <v>15</v>
      </c>
    </row>
    <row r="7" spans="1:8" ht="42" customHeight="1" x14ac:dyDescent="0.3">
      <c r="A7" s="7" t="s">
        <v>1</v>
      </c>
      <c r="B7" s="8" t="s">
        <v>16</v>
      </c>
      <c r="C7" s="7" t="s">
        <v>17</v>
      </c>
      <c r="D7" s="7" t="s">
        <v>18</v>
      </c>
      <c r="E7" s="9">
        <v>3</v>
      </c>
      <c r="F7" s="8" t="s">
        <v>10</v>
      </c>
      <c r="G7" s="8" t="s">
        <v>14</v>
      </c>
      <c r="H7" s="7" t="s">
        <v>19</v>
      </c>
    </row>
    <row r="8" spans="1:8" ht="42" customHeight="1" x14ac:dyDescent="0.3">
      <c r="A8" s="4" t="s">
        <v>1</v>
      </c>
      <c r="B8" s="5" t="s">
        <v>20</v>
      </c>
      <c r="C8" s="4" t="s">
        <v>21</v>
      </c>
      <c r="D8" s="4" t="s">
        <v>22</v>
      </c>
      <c r="E8" s="6">
        <v>2</v>
      </c>
      <c r="F8" s="5" t="s">
        <v>10</v>
      </c>
      <c r="G8" s="5" t="s">
        <v>14</v>
      </c>
      <c r="H8" s="4" t="s">
        <v>23</v>
      </c>
    </row>
    <row r="9" spans="1:8" ht="42" customHeight="1" x14ac:dyDescent="0.3">
      <c r="A9" s="7" t="s">
        <v>1</v>
      </c>
      <c r="B9" s="8" t="s">
        <v>24</v>
      </c>
      <c r="C9" s="7" t="s">
        <v>25</v>
      </c>
      <c r="D9" s="7" t="s">
        <v>26</v>
      </c>
      <c r="E9" s="9">
        <v>2</v>
      </c>
      <c r="F9" s="8" t="s">
        <v>16</v>
      </c>
      <c r="G9" s="8" t="s">
        <v>14</v>
      </c>
      <c r="H9" s="7" t="s">
        <v>27</v>
      </c>
    </row>
    <row r="10" spans="1:8" ht="42" customHeight="1" x14ac:dyDescent="0.3">
      <c r="A10" s="4" t="s">
        <v>1</v>
      </c>
      <c r="B10" s="5" t="s">
        <v>28</v>
      </c>
      <c r="C10" s="4" t="s">
        <v>29</v>
      </c>
      <c r="D10" s="4" t="s">
        <v>30</v>
      </c>
      <c r="E10" s="6">
        <v>3</v>
      </c>
      <c r="F10" s="5" t="s">
        <v>20</v>
      </c>
      <c r="G10" s="5" t="s">
        <v>31</v>
      </c>
      <c r="H10" s="4" t="s">
        <v>32</v>
      </c>
    </row>
    <row r="11" spans="1:8" ht="42" customHeight="1" x14ac:dyDescent="0.3">
      <c r="A11" s="7" t="s">
        <v>1</v>
      </c>
      <c r="B11" s="8" t="s">
        <v>33</v>
      </c>
      <c r="C11" s="7" t="s">
        <v>34</v>
      </c>
      <c r="D11" s="7" t="s">
        <v>35</v>
      </c>
      <c r="E11" s="9">
        <v>4</v>
      </c>
      <c r="F11" s="8" t="s">
        <v>36</v>
      </c>
      <c r="G11" s="8" t="s">
        <v>31</v>
      </c>
      <c r="H11" s="7" t="s">
        <v>37</v>
      </c>
    </row>
    <row r="12" spans="1:8" ht="42" customHeight="1" x14ac:dyDescent="0.3">
      <c r="A12" s="4" t="s">
        <v>1</v>
      </c>
      <c r="B12" s="5" t="s">
        <v>38</v>
      </c>
      <c r="C12" s="4" t="s">
        <v>39</v>
      </c>
      <c r="D12" s="4" t="s">
        <v>40</v>
      </c>
      <c r="E12" s="6">
        <v>3</v>
      </c>
      <c r="F12" s="5" t="s">
        <v>28</v>
      </c>
      <c r="G12" s="5" t="s">
        <v>31</v>
      </c>
      <c r="H12" s="4" t="s">
        <v>41</v>
      </c>
    </row>
    <row r="13" spans="1:8" ht="42" customHeight="1" x14ac:dyDescent="0.3">
      <c r="A13" s="7" t="s">
        <v>1</v>
      </c>
      <c r="B13" s="8" t="s">
        <v>42</v>
      </c>
      <c r="C13" s="7" t="s">
        <v>43</v>
      </c>
      <c r="D13" s="7" t="s">
        <v>44</v>
      </c>
      <c r="E13" s="9">
        <v>2</v>
      </c>
      <c r="F13" s="8" t="s">
        <v>45</v>
      </c>
      <c r="G13" s="8" t="s">
        <v>31</v>
      </c>
      <c r="H13" s="7" t="s">
        <v>46</v>
      </c>
    </row>
    <row r="14" spans="1:8" ht="42" customHeight="1" x14ac:dyDescent="0.3">
      <c r="A14" s="4" t="s">
        <v>1</v>
      </c>
      <c r="B14" s="5" t="s">
        <v>47</v>
      </c>
      <c r="C14" s="4" t="s">
        <v>48</v>
      </c>
      <c r="D14" s="4" t="s">
        <v>49</v>
      </c>
      <c r="E14" s="6">
        <v>3</v>
      </c>
      <c r="F14" s="5" t="s">
        <v>42</v>
      </c>
      <c r="G14" s="5" t="s">
        <v>50</v>
      </c>
      <c r="H14" s="4" t="s">
        <v>51</v>
      </c>
    </row>
    <row r="15" spans="1:8" ht="42" customHeight="1" x14ac:dyDescent="0.3">
      <c r="A15" s="7" t="s">
        <v>1</v>
      </c>
      <c r="B15" s="8" t="s">
        <v>52</v>
      </c>
      <c r="C15" s="7" t="s">
        <v>53</v>
      </c>
      <c r="D15" s="7" t="s">
        <v>54</v>
      </c>
      <c r="E15" s="9">
        <v>4</v>
      </c>
      <c r="F15" s="8" t="s">
        <v>55</v>
      </c>
      <c r="G15" s="8" t="s">
        <v>50</v>
      </c>
      <c r="H15" s="7" t="s">
        <v>56</v>
      </c>
    </row>
    <row r="16" spans="1:8" ht="42" customHeight="1" x14ac:dyDescent="0.3">
      <c r="A16" s="4" t="s">
        <v>1</v>
      </c>
      <c r="B16" s="5" t="s">
        <v>57</v>
      </c>
      <c r="C16" s="4" t="s">
        <v>58</v>
      </c>
      <c r="D16" s="4" t="s">
        <v>59</v>
      </c>
      <c r="E16" s="6">
        <v>3</v>
      </c>
      <c r="F16" s="5" t="s">
        <v>60</v>
      </c>
      <c r="G16" s="5" t="s">
        <v>50</v>
      </c>
      <c r="H16" s="4" t="s">
        <v>61</v>
      </c>
    </row>
    <row r="17" spans="1:8" ht="42" customHeight="1" x14ac:dyDescent="0.3">
      <c r="A17" s="7" t="s">
        <v>1</v>
      </c>
      <c r="B17" s="8" t="s">
        <v>62</v>
      </c>
      <c r="C17" s="7" t="s">
        <v>63</v>
      </c>
      <c r="D17" s="7" t="s">
        <v>64</v>
      </c>
      <c r="E17" s="9">
        <v>4</v>
      </c>
      <c r="F17" s="8" t="s">
        <v>55</v>
      </c>
      <c r="G17" s="8" t="s">
        <v>50</v>
      </c>
      <c r="H17" s="7" t="s">
        <v>65</v>
      </c>
    </row>
    <row r="18" spans="1:8" ht="42" customHeight="1" x14ac:dyDescent="0.3">
      <c r="A18" s="4" t="s">
        <v>1</v>
      </c>
      <c r="B18" s="5" t="s">
        <v>66</v>
      </c>
      <c r="C18" s="4" t="s">
        <v>67</v>
      </c>
      <c r="D18" s="4" t="s">
        <v>68</v>
      </c>
      <c r="E18" s="6">
        <v>4</v>
      </c>
      <c r="F18" s="5" t="s">
        <v>45</v>
      </c>
      <c r="G18" s="5" t="s">
        <v>69</v>
      </c>
      <c r="H18" s="4" t="s">
        <v>70</v>
      </c>
    </row>
    <row r="19" spans="1:8" ht="42" customHeight="1" x14ac:dyDescent="0.3">
      <c r="A19" s="7" t="s">
        <v>1</v>
      </c>
      <c r="B19" s="8" t="s">
        <v>71</v>
      </c>
      <c r="C19" s="7" t="s">
        <v>72</v>
      </c>
      <c r="D19" s="7" t="s">
        <v>73</v>
      </c>
      <c r="E19" s="9">
        <v>4</v>
      </c>
      <c r="F19" s="8" t="s">
        <v>74</v>
      </c>
      <c r="G19" s="8" t="s">
        <v>69</v>
      </c>
      <c r="H19" s="7" t="s">
        <v>75</v>
      </c>
    </row>
    <row r="20" spans="1:8" ht="42" customHeight="1" x14ac:dyDescent="0.3">
      <c r="A20" s="4" t="s">
        <v>1</v>
      </c>
      <c r="B20" s="5" t="s">
        <v>76</v>
      </c>
      <c r="C20" s="4" t="s">
        <v>77</v>
      </c>
      <c r="D20" s="4" t="s">
        <v>78</v>
      </c>
      <c r="E20" s="6">
        <v>4</v>
      </c>
      <c r="F20" s="5" t="s">
        <v>79</v>
      </c>
      <c r="G20" s="5" t="s">
        <v>69</v>
      </c>
      <c r="H20" s="4" t="s">
        <v>80</v>
      </c>
    </row>
    <row r="21" spans="1:8" ht="42" customHeight="1" x14ac:dyDescent="0.3">
      <c r="A21" s="7" t="s">
        <v>1</v>
      </c>
      <c r="B21" s="8" t="s">
        <v>81</v>
      </c>
      <c r="C21" s="7" t="s">
        <v>82</v>
      </c>
      <c r="D21" s="7" t="s">
        <v>83</v>
      </c>
      <c r="E21" s="9">
        <v>5</v>
      </c>
      <c r="F21" s="8" t="s">
        <v>84</v>
      </c>
      <c r="G21" s="8" t="s">
        <v>85</v>
      </c>
      <c r="H21" s="7" t="s">
        <v>86</v>
      </c>
    </row>
    <row r="22" spans="1:8" ht="42" customHeight="1" x14ac:dyDescent="0.3">
      <c r="A22" s="4" t="s">
        <v>1</v>
      </c>
      <c r="B22" s="5" t="s">
        <v>87</v>
      </c>
      <c r="C22" s="4" t="s">
        <v>88</v>
      </c>
      <c r="D22" s="4" t="s">
        <v>89</v>
      </c>
      <c r="E22" s="6">
        <v>5</v>
      </c>
      <c r="F22" s="5" t="s">
        <v>90</v>
      </c>
      <c r="G22" s="5" t="s">
        <v>85</v>
      </c>
      <c r="H22" s="4" t="s">
        <v>91</v>
      </c>
    </row>
    <row r="23" spans="1:8" ht="42" customHeight="1" x14ac:dyDescent="0.3">
      <c r="A23" s="7" t="s">
        <v>1</v>
      </c>
      <c r="B23" s="8" t="s">
        <v>92</v>
      </c>
      <c r="C23" s="7" t="s">
        <v>93</v>
      </c>
      <c r="D23" s="7" t="s">
        <v>94</v>
      </c>
      <c r="E23" s="9">
        <v>4</v>
      </c>
      <c r="F23" s="8" t="s">
        <v>95</v>
      </c>
      <c r="G23" s="8" t="s">
        <v>85</v>
      </c>
      <c r="H23" s="7" t="s">
        <v>96</v>
      </c>
    </row>
    <row r="24" spans="1:8" ht="42" customHeight="1" x14ac:dyDescent="0.3">
      <c r="A24" s="4" t="s">
        <v>1</v>
      </c>
      <c r="B24" s="5" t="s">
        <v>97</v>
      </c>
      <c r="C24" s="4" t="s">
        <v>98</v>
      </c>
      <c r="D24" s="4" t="s">
        <v>99</v>
      </c>
      <c r="E24" s="6">
        <v>5</v>
      </c>
      <c r="F24" s="5" t="s">
        <v>100</v>
      </c>
      <c r="G24" s="5" t="s">
        <v>101</v>
      </c>
      <c r="H24" s="4" t="s">
        <v>102</v>
      </c>
    </row>
    <row r="25" spans="1:8" ht="42" customHeight="1" x14ac:dyDescent="0.3">
      <c r="A25" s="7" t="s">
        <v>1</v>
      </c>
      <c r="B25" s="8" t="s">
        <v>103</v>
      </c>
      <c r="C25" s="7" t="s">
        <v>104</v>
      </c>
      <c r="D25" s="7" t="s">
        <v>105</v>
      </c>
      <c r="E25" s="9">
        <v>5</v>
      </c>
      <c r="F25" s="8" t="s">
        <v>106</v>
      </c>
      <c r="G25" s="8" t="s">
        <v>101</v>
      </c>
      <c r="H25" s="7" t="s">
        <v>107</v>
      </c>
    </row>
    <row r="26" spans="1:8" ht="24" customHeight="1" x14ac:dyDescent="0.3">
      <c r="A26" s="10" t="s">
        <v>108</v>
      </c>
      <c r="B26" s="11"/>
      <c r="C26" s="11"/>
      <c r="D26" s="11"/>
      <c r="E26" s="12">
        <f>SUM(E6:E25)</f>
        <v>71</v>
      </c>
      <c r="F26" s="11"/>
      <c r="G26" s="11"/>
      <c r="H26" s="11"/>
    </row>
    <row r="28" spans="1:8" ht="15.6" x14ac:dyDescent="0.3">
      <c r="A28" s="27" t="s">
        <v>109</v>
      </c>
      <c r="B28" s="28"/>
      <c r="C28" s="28"/>
      <c r="D28" s="28"/>
      <c r="E28" s="28"/>
      <c r="F28" s="28"/>
      <c r="G28" s="28"/>
      <c r="H28" s="28"/>
    </row>
    <row r="29" spans="1:8" ht="28.05" customHeight="1" x14ac:dyDescent="0.3">
      <c r="A29" s="3" t="s">
        <v>2</v>
      </c>
      <c r="B29" s="3" t="s">
        <v>3</v>
      </c>
      <c r="C29" s="3" t="s">
        <v>4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9</v>
      </c>
    </row>
    <row r="30" spans="1:8" ht="42" customHeight="1" x14ac:dyDescent="0.3">
      <c r="A30" s="4" t="s">
        <v>109</v>
      </c>
      <c r="B30" s="5" t="s">
        <v>110</v>
      </c>
      <c r="C30" s="4" t="s">
        <v>111</v>
      </c>
      <c r="D30" s="4" t="s">
        <v>112</v>
      </c>
      <c r="E30" s="6">
        <v>3</v>
      </c>
      <c r="F30" s="5" t="s">
        <v>103</v>
      </c>
      <c r="G30" s="5" t="s">
        <v>113</v>
      </c>
      <c r="H30" s="4" t="s">
        <v>114</v>
      </c>
    </row>
    <row r="31" spans="1:8" ht="42" customHeight="1" x14ac:dyDescent="0.3">
      <c r="A31" s="7" t="s">
        <v>109</v>
      </c>
      <c r="B31" s="8" t="s">
        <v>115</v>
      </c>
      <c r="C31" s="7" t="s">
        <v>116</v>
      </c>
      <c r="D31" s="7" t="s">
        <v>117</v>
      </c>
      <c r="E31" s="9">
        <v>4</v>
      </c>
      <c r="F31" s="8" t="s">
        <v>110</v>
      </c>
      <c r="G31" s="8" t="s">
        <v>113</v>
      </c>
      <c r="H31" s="7" t="s">
        <v>118</v>
      </c>
    </row>
    <row r="32" spans="1:8" ht="42" customHeight="1" x14ac:dyDescent="0.3">
      <c r="A32" s="4" t="s">
        <v>109</v>
      </c>
      <c r="B32" s="5" t="s">
        <v>119</v>
      </c>
      <c r="C32" s="4" t="s">
        <v>120</v>
      </c>
      <c r="D32" s="4" t="s">
        <v>121</v>
      </c>
      <c r="E32" s="6">
        <v>5</v>
      </c>
      <c r="F32" s="5" t="s">
        <v>115</v>
      </c>
      <c r="G32" s="5" t="s">
        <v>122</v>
      </c>
      <c r="H32" s="4" t="s">
        <v>123</v>
      </c>
    </row>
    <row r="33" spans="1:8" ht="42" customHeight="1" x14ac:dyDescent="0.3">
      <c r="A33" s="7" t="s">
        <v>109</v>
      </c>
      <c r="B33" s="8" t="s">
        <v>124</v>
      </c>
      <c r="C33" s="7" t="s">
        <v>125</v>
      </c>
      <c r="D33" s="7" t="s">
        <v>126</v>
      </c>
      <c r="E33" s="9">
        <v>4</v>
      </c>
      <c r="F33" s="8" t="s">
        <v>127</v>
      </c>
      <c r="G33" s="8" t="s">
        <v>122</v>
      </c>
      <c r="H33" s="7" t="s">
        <v>128</v>
      </c>
    </row>
    <row r="34" spans="1:8" ht="42" customHeight="1" x14ac:dyDescent="0.3">
      <c r="A34" s="4" t="s">
        <v>109</v>
      </c>
      <c r="B34" s="5" t="s">
        <v>129</v>
      </c>
      <c r="C34" s="4" t="s">
        <v>130</v>
      </c>
      <c r="D34" s="4" t="s">
        <v>131</v>
      </c>
      <c r="E34" s="6">
        <v>5</v>
      </c>
      <c r="F34" s="5" t="s">
        <v>132</v>
      </c>
      <c r="G34" s="5" t="s">
        <v>133</v>
      </c>
      <c r="H34" s="4" t="s">
        <v>134</v>
      </c>
    </row>
    <row r="35" spans="1:8" ht="42" customHeight="1" x14ac:dyDescent="0.3">
      <c r="A35" s="7" t="s">
        <v>109</v>
      </c>
      <c r="B35" s="8" t="s">
        <v>135</v>
      </c>
      <c r="C35" s="7" t="s">
        <v>136</v>
      </c>
      <c r="D35" s="7" t="s">
        <v>137</v>
      </c>
      <c r="E35" s="9">
        <v>5</v>
      </c>
      <c r="F35" s="8" t="s">
        <v>138</v>
      </c>
      <c r="G35" s="8" t="s">
        <v>133</v>
      </c>
      <c r="H35" s="7" t="s">
        <v>139</v>
      </c>
    </row>
    <row r="36" spans="1:8" ht="42" customHeight="1" x14ac:dyDescent="0.3">
      <c r="A36" s="4" t="s">
        <v>109</v>
      </c>
      <c r="B36" s="5" t="s">
        <v>140</v>
      </c>
      <c r="C36" s="4" t="s">
        <v>141</v>
      </c>
      <c r="D36" s="4" t="s">
        <v>142</v>
      </c>
      <c r="E36" s="6">
        <v>3</v>
      </c>
      <c r="F36" s="5" t="s">
        <v>143</v>
      </c>
      <c r="G36" s="5" t="s">
        <v>133</v>
      </c>
      <c r="H36" s="4" t="s">
        <v>144</v>
      </c>
    </row>
    <row r="37" spans="1:8" ht="42" customHeight="1" x14ac:dyDescent="0.3">
      <c r="A37" s="7" t="s">
        <v>109</v>
      </c>
      <c r="B37" s="8" t="s">
        <v>145</v>
      </c>
      <c r="C37" s="7" t="s">
        <v>146</v>
      </c>
      <c r="D37" s="7" t="s">
        <v>147</v>
      </c>
      <c r="E37" s="9">
        <v>4</v>
      </c>
      <c r="F37" s="8" t="s">
        <v>148</v>
      </c>
      <c r="G37" s="8" t="s">
        <v>149</v>
      </c>
      <c r="H37" s="7" t="s">
        <v>150</v>
      </c>
    </row>
    <row r="38" spans="1:8" ht="42" customHeight="1" x14ac:dyDescent="0.3">
      <c r="A38" s="4" t="s">
        <v>109</v>
      </c>
      <c r="B38" s="5" t="s">
        <v>151</v>
      </c>
      <c r="C38" s="4" t="s">
        <v>152</v>
      </c>
      <c r="D38" s="4" t="s">
        <v>153</v>
      </c>
      <c r="E38" s="6">
        <v>5</v>
      </c>
      <c r="F38" s="5" t="s">
        <v>145</v>
      </c>
      <c r="G38" s="5" t="s">
        <v>149</v>
      </c>
      <c r="H38" s="4" t="s">
        <v>154</v>
      </c>
    </row>
    <row r="39" spans="1:8" ht="42" customHeight="1" x14ac:dyDescent="0.3">
      <c r="A39" s="7" t="s">
        <v>109</v>
      </c>
      <c r="B39" s="8" t="s">
        <v>155</v>
      </c>
      <c r="C39" s="7" t="s">
        <v>156</v>
      </c>
      <c r="D39" s="7" t="s">
        <v>157</v>
      </c>
      <c r="E39" s="9">
        <v>5</v>
      </c>
      <c r="F39" s="8" t="s">
        <v>158</v>
      </c>
      <c r="G39" s="8" t="s">
        <v>159</v>
      </c>
      <c r="H39" s="7" t="s">
        <v>160</v>
      </c>
    </row>
    <row r="40" spans="1:8" ht="42" customHeight="1" x14ac:dyDescent="0.3">
      <c r="A40" s="4" t="s">
        <v>109</v>
      </c>
      <c r="B40" s="5" t="s">
        <v>161</v>
      </c>
      <c r="C40" s="4" t="s">
        <v>162</v>
      </c>
      <c r="D40" s="4" t="s">
        <v>163</v>
      </c>
      <c r="E40" s="6">
        <v>5</v>
      </c>
      <c r="F40" s="5" t="s">
        <v>164</v>
      </c>
      <c r="G40" s="5" t="s">
        <v>159</v>
      </c>
      <c r="H40" s="4" t="s">
        <v>165</v>
      </c>
    </row>
    <row r="41" spans="1:8" ht="42" customHeight="1" x14ac:dyDescent="0.3">
      <c r="A41" s="7" t="s">
        <v>109</v>
      </c>
      <c r="B41" s="8" t="s">
        <v>166</v>
      </c>
      <c r="C41" s="7" t="s">
        <v>167</v>
      </c>
      <c r="D41" s="7" t="s">
        <v>168</v>
      </c>
      <c r="E41" s="9">
        <v>5</v>
      </c>
      <c r="F41" s="8" t="s">
        <v>169</v>
      </c>
      <c r="G41" s="8" t="s">
        <v>170</v>
      </c>
      <c r="H41" s="7" t="s">
        <v>171</v>
      </c>
    </row>
    <row r="42" spans="1:8" ht="42" customHeight="1" x14ac:dyDescent="0.3">
      <c r="A42" s="4" t="s">
        <v>109</v>
      </c>
      <c r="B42" s="5" t="s">
        <v>172</v>
      </c>
      <c r="C42" s="4" t="s">
        <v>173</v>
      </c>
      <c r="D42" s="4" t="s">
        <v>174</v>
      </c>
      <c r="E42" s="6">
        <v>5</v>
      </c>
      <c r="F42" s="5" t="s">
        <v>175</v>
      </c>
      <c r="G42" s="5" t="s">
        <v>170</v>
      </c>
      <c r="H42" s="4" t="s">
        <v>176</v>
      </c>
    </row>
    <row r="43" spans="1:8" ht="42" customHeight="1" x14ac:dyDescent="0.3">
      <c r="A43" s="7" t="s">
        <v>109</v>
      </c>
      <c r="B43" s="8" t="s">
        <v>177</v>
      </c>
      <c r="C43" s="7" t="s">
        <v>178</v>
      </c>
      <c r="D43" s="7" t="s">
        <v>179</v>
      </c>
      <c r="E43" s="9">
        <v>3</v>
      </c>
      <c r="F43" s="8" t="s">
        <v>180</v>
      </c>
      <c r="G43" s="8" t="s">
        <v>170</v>
      </c>
      <c r="H43" s="7" t="s">
        <v>181</v>
      </c>
    </row>
    <row r="44" spans="1:8" ht="42" customHeight="1" x14ac:dyDescent="0.3">
      <c r="A44" s="4" t="s">
        <v>109</v>
      </c>
      <c r="B44" s="5" t="s">
        <v>182</v>
      </c>
      <c r="C44" s="4" t="s">
        <v>183</v>
      </c>
      <c r="D44" s="4" t="s">
        <v>184</v>
      </c>
      <c r="E44" s="6">
        <v>5</v>
      </c>
      <c r="F44" s="5" t="s">
        <v>185</v>
      </c>
      <c r="G44" s="5" t="s">
        <v>186</v>
      </c>
      <c r="H44" s="4" t="s">
        <v>187</v>
      </c>
    </row>
    <row r="45" spans="1:8" ht="42" customHeight="1" x14ac:dyDescent="0.3">
      <c r="A45" s="7" t="s">
        <v>109</v>
      </c>
      <c r="B45" s="8" t="s">
        <v>188</v>
      </c>
      <c r="C45" s="7" t="s">
        <v>189</v>
      </c>
      <c r="D45" s="7" t="s">
        <v>190</v>
      </c>
      <c r="E45" s="9">
        <v>4</v>
      </c>
      <c r="F45" s="8" t="s">
        <v>191</v>
      </c>
      <c r="G45" s="8" t="s">
        <v>186</v>
      </c>
      <c r="H45" s="7" t="s">
        <v>192</v>
      </c>
    </row>
    <row r="46" spans="1:8" ht="42" customHeight="1" x14ac:dyDescent="0.3">
      <c r="A46" s="4" t="s">
        <v>109</v>
      </c>
      <c r="B46" s="5" t="s">
        <v>193</v>
      </c>
      <c r="C46" s="4" t="s">
        <v>194</v>
      </c>
      <c r="D46" s="4" t="s">
        <v>195</v>
      </c>
      <c r="E46" s="6">
        <v>4</v>
      </c>
      <c r="F46" s="5" t="s">
        <v>196</v>
      </c>
      <c r="G46" s="5" t="s">
        <v>197</v>
      </c>
      <c r="H46" s="4" t="s">
        <v>198</v>
      </c>
    </row>
    <row r="47" spans="1:8" ht="42" customHeight="1" x14ac:dyDescent="0.3">
      <c r="A47" s="7" t="s">
        <v>109</v>
      </c>
      <c r="B47" s="8" t="s">
        <v>199</v>
      </c>
      <c r="C47" s="7" t="s">
        <v>200</v>
      </c>
      <c r="D47" s="7" t="s">
        <v>201</v>
      </c>
      <c r="E47" s="9">
        <v>3</v>
      </c>
      <c r="F47" s="8" t="s">
        <v>202</v>
      </c>
      <c r="G47" s="8" t="s">
        <v>197</v>
      </c>
      <c r="H47" s="7" t="s">
        <v>203</v>
      </c>
    </row>
    <row r="48" spans="1:8" ht="42" customHeight="1" x14ac:dyDescent="0.3">
      <c r="A48" s="4" t="s">
        <v>109</v>
      </c>
      <c r="B48" s="5" t="s">
        <v>204</v>
      </c>
      <c r="C48" s="4" t="s">
        <v>205</v>
      </c>
      <c r="D48" s="4" t="s">
        <v>206</v>
      </c>
      <c r="E48" s="6">
        <v>5</v>
      </c>
      <c r="F48" s="5" t="s">
        <v>207</v>
      </c>
      <c r="G48" s="5" t="s">
        <v>208</v>
      </c>
      <c r="H48" s="4" t="s">
        <v>209</v>
      </c>
    </row>
    <row r="49" spans="1:8" ht="42" customHeight="1" x14ac:dyDescent="0.3">
      <c r="A49" s="7" t="s">
        <v>109</v>
      </c>
      <c r="B49" s="8" t="s">
        <v>210</v>
      </c>
      <c r="C49" s="7" t="s">
        <v>211</v>
      </c>
      <c r="D49" s="7" t="s">
        <v>212</v>
      </c>
      <c r="E49" s="9">
        <v>5</v>
      </c>
      <c r="F49" s="8" t="s">
        <v>213</v>
      </c>
      <c r="G49" s="8" t="s">
        <v>214</v>
      </c>
      <c r="H49" s="7" t="s">
        <v>215</v>
      </c>
    </row>
    <row r="50" spans="1:8" ht="24" customHeight="1" x14ac:dyDescent="0.3">
      <c r="A50" s="13" t="s">
        <v>216</v>
      </c>
      <c r="B50" s="14"/>
      <c r="C50" s="14"/>
      <c r="D50" s="14"/>
      <c r="E50" s="15">
        <f>SUM(E30:E49)</f>
        <v>87</v>
      </c>
      <c r="F50" s="14"/>
      <c r="G50" s="14"/>
      <c r="H50" s="14"/>
    </row>
    <row r="52" spans="1:8" ht="15.6" x14ac:dyDescent="0.3">
      <c r="A52" s="30" t="s">
        <v>217</v>
      </c>
      <c r="B52" s="28"/>
      <c r="C52" s="28"/>
      <c r="D52" s="28"/>
      <c r="E52" s="28"/>
      <c r="F52" s="28"/>
      <c r="G52" s="28"/>
      <c r="H52" s="28"/>
    </row>
    <row r="53" spans="1:8" ht="28.05" customHeight="1" x14ac:dyDescent="0.3">
      <c r="A53" s="3" t="s">
        <v>2</v>
      </c>
      <c r="B53" s="3" t="s">
        <v>3</v>
      </c>
      <c r="C53" s="3" t="s">
        <v>4</v>
      </c>
      <c r="D53" s="3" t="s">
        <v>5</v>
      </c>
      <c r="E53" s="3" t="s">
        <v>6</v>
      </c>
      <c r="F53" s="3" t="s">
        <v>7</v>
      </c>
      <c r="G53" s="3" t="s">
        <v>8</v>
      </c>
      <c r="H53" s="3" t="s">
        <v>9</v>
      </c>
    </row>
    <row r="54" spans="1:8" ht="42" customHeight="1" x14ac:dyDescent="0.3">
      <c r="A54" s="4" t="s">
        <v>217</v>
      </c>
      <c r="B54" s="5" t="s">
        <v>218</v>
      </c>
      <c r="C54" s="4" t="s">
        <v>219</v>
      </c>
      <c r="D54" s="4" t="s">
        <v>220</v>
      </c>
      <c r="E54" s="6">
        <v>3</v>
      </c>
      <c r="F54" s="5" t="s">
        <v>210</v>
      </c>
      <c r="G54" s="5" t="s">
        <v>221</v>
      </c>
      <c r="H54" s="4" t="s">
        <v>222</v>
      </c>
    </row>
    <row r="55" spans="1:8" ht="42" customHeight="1" x14ac:dyDescent="0.3">
      <c r="A55" s="7" t="s">
        <v>217</v>
      </c>
      <c r="B55" s="8" t="s">
        <v>223</v>
      </c>
      <c r="C55" s="7" t="s">
        <v>224</v>
      </c>
      <c r="D55" s="7" t="s">
        <v>225</v>
      </c>
      <c r="E55" s="9">
        <v>4</v>
      </c>
      <c r="F55" s="8" t="s">
        <v>210</v>
      </c>
      <c r="G55" s="8" t="s">
        <v>221</v>
      </c>
      <c r="H55" s="7" t="s">
        <v>226</v>
      </c>
    </row>
    <row r="56" spans="1:8" ht="42" customHeight="1" x14ac:dyDescent="0.3">
      <c r="A56" s="4" t="s">
        <v>217</v>
      </c>
      <c r="B56" s="5" t="s">
        <v>227</v>
      </c>
      <c r="C56" s="4" t="s">
        <v>228</v>
      </c>
      <c r="D56" s="4" t="s">
        <v>229</v>
      </c>
      <c r="E56" s="6">
        <v>4</v>
      </c>
      <c r="F56" s="5" t="s">
        <v>223</v>
      </c>
      <c r="G56" s="5" t="s">
        <v>230</v>
      </c>
      <c r="H56" s="4" t="s">
        <v>231</v>
      </c>
    </row>
    <row r="57" spans="1:8" ht="42" customHeight="1" x14ac:dyDescent="0.3">
      <c r="A57" s="7" t="s">
        <v>217</v>
      </c>
      <c r="B57" s="8" t="s">
        <v>232</v>
      </c>
      <c r="C57" s="7" t="s">
        <v>233</v>
      </c>
      <c r="D57" s="7" t="s">
        <v>234</v>
      </c>
      <c r="E57" s="9">
        <v>4</v>
      </c>
      <c r="F57" s="8" t="s">
        <v>227</v>
      </c>
      <c r="G57" s="8" t="s">
        <v>230</v>
      </c>
      <c r="H57" s="7" t="s">
        <v>235</v>
      </c>
    </row>
    <row r="58" spans="1:8" ht="42" customHeight="1" x14ac:dyDescent="0.3">
      <c r="A58" s="4" t="s">
        <v>217</v>
      </c>
      <c r="B58" s="5" t="s">
        <v>236</v>
      </c>
      <c r="C58" s="4" t="s">
        <v>237</v>
      </c>
      <c r="D58" s="4" t="s">
        <v>238</v>
      </c>
      <c r="E58" s="6">
        <v>4</v>
      </c>
      <c r="F58" s="5" t="s">
        <v>239</v>
      </c>
      <c r="G58" s="5" t="s">
        <v>230</v>
      </c>
      <c r="H58" s="4" t="s">
        <v>240</v>
      </c>
    </row>
    <row r="59" spans="1:8" ht="42" customHeight="1" x14ac:dyDescent="0.3">
      <c r="A59" s="7" t="s">
        <v>217</v>
      </c>
      <c r="B59" s="8" t="s">
        <v>241</v>
      </c>
      <c r="C59" s="7" t="s">
        <v>242</v>
      </c>
      <c r="D59" s="7" t="s">
        <v>243</v>
      </c>
      <c r="E59" s="9">
        <v>5</v>
      </c>
      <c r="F59" s="8" t="s">
        <v>244</v>
      </c>
      <c r="G59" s="8" t="s">
        <v>245</v>
      </c>
      <c r="H59" s="7" t="s">
        <v>246</v>
      </c>
    </row>
    <row r="60" spans="1:8" ht="42" customHeight="1" x14ac:dyDescent="0.3">
      <c r="A60" s="4" t="s">
        <v>217</v>
      </c>
      <c r="B60" s="5" t="s">
        <v>247</v>
      </c>
      <c r="C60" s="4" t="s">
        <v>248</v>
      </c>
      <c r="D60" s="4" t="s">
        <v>249</v>
      </c>
      <c r="E60" s="6">
        <v>5</v>
      </c>
      <c r="F60" s="5" t="s">
        <v>250</v>
      </c>
      <c r="G60" s="5" t="s">
        <v>245</v>
      </c>
      <c r="H60" s="4" t="s">
        <v>251</v>
      </c>
    </row>
    <row r="61" spans="1:8" ht="42" customHeight="1" x14ac:dyDescent="0.3">
      <c r="A61" s="7" t="s">
        <v>217</v>
      </c>
      <c r="B61" s="8" t="s">
        <v>252</v>
      </c>
      <c r="C61" s="7" t="s">
        <v>253</v>
      </c>
      <c r="D61" s="7" t="s">
        <v>254</v>
      </c>
      <c r="E61" s="9">
        <v>5</v>
      </c>
      <c r="F61" s="8" t="s">
        <v>255</v>
      </c>
      <c r="G61" s="8" t="s">
        <v>256</v>
      </c>
      <c r="H61" s="7" t="s">
        <v>257</v>
      </c>
    </row>
    <row r="62" spans="1:8" ht="42" customHeight="1" x14ac:dyDescent="0.3">
      <c r="A62" s="4" t="s">
        <v>217</v>
      </c>
      <c r="B62" s="5" t="s">
        <v>258</v>
      </c>
      <c r="C62" s="4" t="s">
        <v>259</v>
      </c>
      <c r="D62" s="4" t="s">
        <v>260</v>
      </c>
      <c r="E62" s="6">
        <v>4</v>
      </c>
      <c r="F62" s="5" t="s">
        <v>252</v>
      </c>
      <c r="G62" s="5" t="s">
        <v>256</v>
      </c>
      <c r="H62" s="4" t="s">
        <v>261</v>
      </c>
    </row>
    <row r="63" spans="1:8" ht="42" customHeight="1" x14ac:dyDescent="0.3">
      <c r="A63" s="7" t="s">
        <v>217</v>
      </c>
      <c r="B63" s="8" t="s">
        <v>262</v>
      </c>
      <c r="C63" s="7" t="s">
        <v>263</v>
      </c>
      <c r="D63" s="7" t="s">
        <v>264</v>
      </c>
      <c r="E63" s="9">
        <v>4</v>
      </c>
      <c r="F63" s="8" t="s">
        <v>265</v>
      </c>
      <c r="G63" s="8" t="s">
        <v>266</v>
      </c>
      <c r="H63" s="7" t="s">
        <v>267</v>
      </c>
    </row>
    <row r="64" spans="1:8" ht="42" customHeight="1" x14ac:dyDescent="0.3">
      <c r="A64" s="4" t="s">
        <v>217</v>
      </c>
      <c r="B64" s="5" t="s">
        <v>268</v>
      </c>
      <c r="C64" s="4" t="s">
        <v>269</v>
      </c>
      <c r="D64" s="4" t="s">
        <v>270</v>
      </c>
      <c r="E64" s="6">
        <v>4</v>
      </c>
      <c r="F64" s="5" t="s">
        <v>271</v>
      </c>
      <c r="G64" s="5" t="s">
        <v>266</v>
      </c>
      <c r="H64" s="4" t="s">
        <v>272</v>
      </c>
    </row>
    <row r="65" spans="1:8" ht="42" customHeight="1" x14ac:dyDescent="0.3">
      <c r="A65" s="7" t="s">
        <v>217</v>
      </c>
      <c r="B65" s="8" t="s">
        <v>273</v>
      </c>
      <c r="C65" s="7" t="s">
        <v>274</v>
      </c>
      <c r="D65" s="7" t="s">
        <v>275</v>
      </c>
      <c r="E65" s="9">
        <v>4</v>
      </c>
      <c r="F65" s="8" t="s">
        <v>276</v>
      </c>
      <c r="G65" s="8" t="s">
        <v>277</v>
      </c>
      <c r="H65" s="7" t="s">
        <v>278</v>
      </c>
    </row>
    <row r="66" spans="1:8" ht="42" customHeight="1" x14ac:dyDescent="0.3">
      <c r="A66" s="4" t="s">
        <v>217</v>
      </c>
      <c r="B66" s="5" t="s">
        <v>279</v>
      </c>
      <c r="C66" s="4" t="s">
        <v>280</v>
      </c>
      <c r="D66" s="4" t="s">
        <v>281</v>
      </c>
      <c r="E66" s="6">
        <v>5</v>
      </c>
      <c r="F66" s="5" t="s">
        <v>282</v>
      </c>
      <c r="G66" s="5" t="s">
        <v>277</v>
      </c>
      <c r="H66" s="4" t="s">
        <v>283</v>
      </c>
    </row>
    <row r="67" spans="1:8" ht="42" customHeight="1" x14ac:dyDescent="0.3">
      <c r="A67" s="7" t="s">
        <v>217</v>
      </c>
      <c r="B67" s="8" t="s">
        <v>284</v>
      </c>
      <c r="C67" s="7" t="s">
        <v>285</v>
      </c>
      <c r="D67" s="7" t="s">
        <v>286</v>
      </c>
      <c r="E67" s="9">
        <v>4</v>
      </c>
      <c r="F67" s="8" t="s">
        <v>287</v>
      </c>
      <c r="G67" s="8" t="s">
        <v>288</v>
      </c>
      <c r="H67" s="7" t="s">
        <v>289</v>
      </c>
    </row>
    <row r="68" spans="1:8" ht="42" customHeight="1" x14ac:dyDescent="0.3">
      <c r="A68" s="4" t="s">
        <v>217</v>
      </c>
      <c r="B68" s="5" t="s">
        <v>290</v>
      </c>
      <c r="C68" s="4" t="s">
        <v>291</v>
      </c>
      <c r="D68" s="4" t="s">
        <v>292</v>
      </c>
      <c r="E68" s="6">
        <v>3</v>
      </c>
      <c r="F68" s="5" t="s">
        <v>293</v>
      </c>
      <c r="G68" s="5" t="s">
        <v>288</v>
      </c>
      <c r="H68" s="4" t="s">
        <v>294</v>
      </c>
    </row>
    <row r="69" spans="1:8" ht="42" customHeight="1" x14ac:dyDescent="0.3">
      <c r="A69" s="7" t="s">
        <v>217</v>
      </c>
      <c r="B69" s="8" t="s">
        <v>295</v>
      </c>
      <c r="C69" s="7" t="s">
        <v>296</v>
      </c>
      <c r="D69" s="7" t="s">
        <v>297</v>
      </c>
      <c r="E69" s="9">
        <v>3</v>
      </c>
      <c r="F69" s="8" t="s">
        <v>298</v>
      </c>
      <c r="G69" s="8" t="s">
        <v>299</v>
      </c>
      <c r="H69" s="7" t="s">
        <v>300</v>
      </c>
    </row>
    <row r="70" spans="1:8" ht="42" customHeight="1" x14ac:dyDescent="0.3">
      <c r="A70" s="4" t="s">
        <v>217</v>
      </c>
      <c r="B70" s="5" t="s">
        <v>301</v>
      </c>
      <c r="C70" s="4" t="s">
        <v>302</v>
      </c>
      <c r="D70" s="4" t="s">
        <v>303</v>
      </c>
      <c r="E70" s="6">
        <v>3</v>
      </c>
      <c r="F70" s="5" t="s">
        <v>304</v>
      </c>
      <c r="G70" s="5" t="s">
        <v>299</v>
      </c>
      <c r="H70" s="4" t="s">
        <v>305</v>
      </c>
    </row>
    <row r="71" spans="1:8" ht="42" customHeight="1" x14ac:dyDescent="0.3">
      <c r="A71" s="7" t="s">
        <v>217</v>
      </c>
      <c r="B71" s="8" t="s">
        <v>306</v>
      </c>
      <c r="C71" s="7" t="s">
        <v>307</v>
      </c>
      <c r="D71" s="7" t="s">
        <v>308</v>
      </c>
      <c r="E71" s="9">
        <v>4</v>
      </c>
      <c r="F71" s="8" t="s">
        <v>309</v>
      </c>
      <c r="G71" s="8" t="s">
        <v>310</v>
      </c>
      <c r="H71" s="7" t="s">
        <v>311</v>
      </c>
    </row>
    <row r="72" spans="1:8" ht="42" customHeight="1" x14ac:dyDescent="0.3">
      <c r="A72" s="4" t="s">
        <v>217</v>
      </c>
      <c r="B72" s="5" t="s">
        <v>312</v>
      </c>
      <c r="C72" s="4" t="s">
        <v>313</v>
      </c>
      <c r="D72" s="4" t="s">
        <v>314</v>
      </c>
      <c r="E72" s="6">
        <v>4</v>
      </c>
      <c r="F72" s="5" t="s">
        <v>315</v>
      </c>
      <c r="G72" s="5" t="s">
        <v>316</v>
      </c>
      <c r="H72" s="4" t="s">
        <v>317</v>
      </c>
    </row>
    <row r="73" spans="1:8" ht="42" customHeight="1" x14ac:dyDescent="0.3">
      <c r="A73" s="7" t="s">
        <v>217</v>
      </c>
      <c r="B73" s="8" t="s">
        <v>318</v>
      </c>
      <c r="C73" s="7" t="s">
        <v>319</v>
      </c>
      <c r="D73" s="7" t="s">
        <v>320</v>
      </c>
      <c r="E73" s="9">
        <v>5</v>
      </c>
      <c r="F73" s="8" t="s">
        <v>312</v>
      </c>
      <c r="G73" s="8" t="s">
        <v>321</v>
      </c>
      <c r="H73" s="7" t="s">
        <v>322</v>
      </c>
    </row>
    <row r="74" spans="1:8" ht="24" customHeight="1" x14ac:dyDescent="0.3">
      <c r="A74" s="16" t="s">
        <v>323</v>
      </c>
      <c r="B74" s="17"/>
      <c r="C74" s="17"/>
      <c r="D74" s="17"/>
      <c r="E74" s="18">
        <f>SUM(E54:E73)</f>
        <v>81</v>
      </c>
      <c r="F74" s="17"/>
      <c r="G74" s="17"/>
      <c r="H74" s="17"/>
    </row>
  </sheetData>
  <mergeCells count="4">
    <mergeCell ref="A28:H28"/>
    <mergeCell ref="A4:H4"/>
    <mergeCell ref="A52:H52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6" customWidth="1"/>
    <col min="2" max="2" width="16" customWidth="1"/>
    <col min="3" max="3" width="18" customWidth="1"/>
    <col min="4" max="4" width="22" customWidth="1"/>
    <col min="5" max="5" width="55" customWidth="1"/>
  </cols>
  <sheetData>
    <row r="1" spans="1:5" ht="21" x14ac:dyDescent="0.4">
      <c r="A1" s="1" t="s">
        <v>324</v>
      </c>
    </row>
    <row r="2" spans="1:5" x14ac:dyDescent="0.3">
      <c r="A2" s="2" t="s">
        <v>325</v>
      </c>
    </row>
    <row r="4" spans="1:5" ht="15.6" x14ac:dyDescent="0.3">
      <c r="A4" s="19" t="s">
        <v>326</v>
      </c>
    </row>
    <row r="5" spans="1:5" x14ac:dyDescent="0.3">
      <c r="A5" s="20" t="s">
        <v>2</v>
      </c>
      <c r="B5" s="20" t="s">
        <v>327</v>
      </c>
      <c r="C5" s="20" t="s">
        <v>6</v>
      </c>
      <c r="D5" s="20" t="s">
        <v>328</v>
      </c>
      <c r="E5" s="20" t="s">
        <v>329</v>
      </c>
    </row>
    <row r="6" spans="1:5" x14ac:dyDescent="0.3">
      <c r="A6" s="21" t="s">
        <v>1</v>
      </c>
      <c r="B6" s="22">
        <f>COUNTIF('Master Task List (All 60)'!A:A, A6)</f>
        <v>21</v>
      </c>
      <c r="C6" s="22">
        <f>SUMIF('Master Task List (All 60)'!A:A, A6, 'Master Task List (All 60)'!E:E)</f>
        <v>71</v>
      </c>
      <c r="D6" s="23" t="s">
        <v>330</v>
      </c>
      <c r="E6" s="21" t="s">
        <v>331</v>
      </c>
    </row>
    <row r="7" spans="1:5" x14ac:dyDescent="0.3">
      <c r="A7" s="21" t="s">
        <v>109</v>
      </c>
      <c r="B7" s="22">
        <f>COUNTIF('Master Task List (All 60)'!A:A, A7)</f>
        <v>21</v>
      </c>
      <c r="C7" s="22">
        <f>SUMIF('Master Task List (All 60)'!A:A, A7, 'Master Task List (All 60)'!E:E)</f>
        <v>87</v>
      </c>
      <c r="D7" s="23" t="s">
        <v>332</v>
      </c>
      <c r="E7" s="21" t="s">
        <v>333</v>
      </c>
    </row>
    <row r="8" spans="1:5" x14ac:dyDescent="0.3">
      <c r="A8" s="21" t="s">
        <v>217</v>
      </c>
      <c r="B8" s="22">
        <f>COUNTIF('Master Task List (All 60)'!A:A, A8)</f>
        <v>21</v>
      </c>
      <c r="C8" s="22">
        <f>SUMIF('Master Task List (All 60)'!A:A, A8, 'Master Task List (All 60)'!E:E)</f>
        <v>81</v>
      </c>
      <c r="D8" s="23" t="s">
        <v>334</v>
      </c>
      <c r="E8" s="21" t="s">
        <v>335</v>
      </c>
    </row>
    <row r="9" spans="1:5" x14ac:dyDescent="0.3">
      <c r="A9" s="24" t="s">
        <v>336</v>
      </c>
      <c r="B9" s="25">
        <f>SUM(B6:B8)</f>
        <v>63</v>
      </c>
      <c r="C9" s="25">
        <f>SUM(C6:C8)</f>
        <v>239</v>
      </c>
      <c r="D9" s="26" t="s">
        <v>337</v>
      </c>
      <c r="E9" s="24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Task List (All 60)</vt:lpstr>
      <vt:lpstr>Project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Jayanth jay</cp:lastModifiedBy>
  <dcterms:created xsi:type="dcterms:W3CDTF">2026-09-11T17:39:42Z</dcterms:created>
  <dcterms:modified xsi:type="dcterms:W3CDTF">2026-09-11T17:42:26Z</dcterms:modified>
</cp:coreProperties>
</file>